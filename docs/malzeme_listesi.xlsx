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zeme Listesi" sheetId="1" state="visible" r:id="rId1"/>
  </sheets>
  <definedNames>
    <definedName name="_xlnm.Print_Titles" localSheetId="0">'Malzeme Listesi'!$1:$1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  <font>
      <sz val="9"/>
    </font>
    <font>
      <b val="1"/>
      <sz val="10"/>
    </font>
    <font>
      <b val="1"/>
      <color rgb="00808080"/>
      <sz val="10"/>
    </font>
    <font>
      <i val="1"/>
      <color rgb="00808080"/>
      <sz val="9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46" customWidth="1" min="4" max="4"/>
    <col width="7" customWidth="1" min="5" max="5"/>
    <col width="12" customWidth="1" min="6" max="6"/>
    <col width="12" customWidth="1" min="7" max="7"/>
    <col width="18" customWidth="1" min="8" max="8"/>
    <col width="62" customWidth="1" min="9" max="9"/>
  </cols>
  <sheetData>
    <row r="1" ht="28" customHeight="1">
      <c r="A1" s="1" t="inlineStr">
        <is>
          <t>Sıra</t>
        </is>
      </c>
      <c r="B1" s="1" t="inlineStr">
        <is>
          <t>Kategori</t>
        </is>
      </c>
      <c r="C1" s="1" t="inlineStr">
        <is>
          <t>Kod</t>
        </is>
      </c>
      <c r="D1" s="1" t="inlineStr">
        <is>
          <t>Açıklama</t>
        </is>
      </c>
      <c r="E1" s="1" t="inlineStr">
        <is>
          <t>Adet</t>
        </is>
      </c>
      <c r="F1" s="1" t="inlineStr">
        <is>
          <t>Birim Fiyat</t>
        </is>
      </c>
      <c r="G1" s="1" t="inlineStr">
        <is>
          <t>Toplam</t>
        </is>
      </c>
      <c r="H1" s="1" t="inlineStr">
        <is>
          <t>Tedarikçi</t>
        </is>
      </c>
      <c r="I1" s="1" t="inlineStr">
        <is>
          <t>Not</t>
        </is>
      </c>
    </row>
    <row r="2">
      <c r="A2" s="2" t="inlineStr">
        <is>
          <t>BAĞLANTI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n">
        <v>2</v>
      </c>
      <c r="B3" s="6" t="inlineStr">
        <is>
          <t>BAĞLANTI</t>
        </is>
      </c>
      <c r="C3" s="6" t="inlineStr">
        <is>
          <t>CN 6M-S316</t>
        </is>
      </c>
      <c r="D3" s="7" t="inlineStr">
        <is>
          <t>Somun (nut), 6 mm tube</t>
        </is>
      </c>
      <c r="E3" s="5" t="n">
        <v>30</v>
      </c>
      <c r="F3" s="6" t="n"/>
      <c r="G3" s="6">
        <f>IF(F3="","",E3*F3)</f>
        <v/>
      </c>
      <c r="H3" s="6" t="inlineStr">
        <is>
          <t>Neumo (Hy-Lok)</t>
        </is>
      </c>
      <c r="I3" s="7" t="inlineStr">
        <is>
          <t>Döngüde 21 boru ucu var. 20 yedeksiz kalıyordu, 30'a çıkarıldı.</t>
        </is>
      </c>
    </row>
    <row r="4">
      <c r="A4" s="5" t="n">
        <v>3</v>
      </c>
      <c r="B4" s="6" t="inlineStr">
        <is>
          <t>BAĞLANTI</t>
        </is>
      </c>
      <c r="C4" s="6" t="inlineStr">
        <is>
          <t>CFS 6M-S316</t>
        </is>
      </c>
      <c r="D4" s="7" t="inlineStr">
        <is>
          <t>Ön-arka ferrule seti, 6 mm</t>
        </is>
      </c>
      <c r="E4" s="5" t="n">
        <v>30</v>
      </c>
      <c r="F4" s="6" t="n"/>
      <c r="G4" s="6">
        <f>IF(F4="","",E4*F4)</f>
        <v/>
      </c>
      <c r="H4" s="6" t="inlineStr">
        <is>
          <t>Neumo (Hy-Lok)</t>
        </is>
      </c>
      <c r="I4" s="7" t="inlineStr">
        <is>
          <t>Her sökümde yenilenir. 20'den 30'a.</t>
        </is>
      </c>
    </row>
    <row r="5">
      <c r="A5" s="5" t="n">
        <v>4</v>
      </c>
      <c r="B5" s="6" t="inlineStr">
        <is>
          <t>BAĞLANTI</t>
        </is>
      </c>
      <c r="C5" s="6" t="inlineStr">
        <is>
          <t>—</t>
        </is>
      </c>
      <c r="D5" s="7" t="inlineStr">
        <is>
          <t>Tube insert, 6 mm OD x 4 mm ID, SS316</t>
        </is>
      </c>
      <c r="E5" s="5" t="n">
        <v>30</v>
      </c>
      <c r="F5" s="6" t="n"/>
      <c r="G5" s="6">
        <f>IF(F5="","",E5*F5)</f>
        <v/>
      </c>
      <c r="H5" s="6" t="inlineStr">
        <is>
          <t>Neumo (Hy-Lok)</t>
        </is>
      </c>
      <c r="I5" s="7" t="inlineStr">
        <is>
          <t>PTFE hortum için ZORUNLU, her boru ucuna bir tane. 20'den 30'a.</t>
        </is>
      </c>
    </row>
    <row r="6">
      <c r="A6" s="5" t="n">
        <v>5</v>
      </c>
      <c r="B6" s="6" t="inlineStr">
        <is>
          <t>BAĞLANTI</t>
        </is>
      </c>
      <c r="C6" s="6" t="inlineStr">
        <is>
          <t>CMC 6M-2N-S316</t>
        </is>
      </c>
      <c r="D6" s="7" t="inlineStr">
        <is>
          <t>Male connector, 6 mm tube x 1/8" NPT erkek</t>
        </is>
      </c>
      <c r="E6" s="5" t="n">
        <v>6</v>
      </c>
      <c r="F6" s="6" t="n"/>
      <c r="G6" s="6">
        <f>IF(F6="","",E6*F6)</f>
        <v/>
      </c>
      <c r="H6" s="6" t="inlineStr">
        <is>
          <t>Neumo (Hy-Lok)</t>
        </is>
      </c>
      <c r="I6" s="7" t="inlineStr">
        <is>
          <t>+2 adet Alicat MFC için eklendi (MFC portları 1/8" NPT dişi). 4'ten 6'ya.</t>
        </is>
      </c>
    </row>
    <row r="7">
      <c r="A7" s="5" t="n">
        <v>6</v>
      </c>
      <c r="B7" s="6" t="inlineStr">
        <is>
          <t>BAĞLANTI</t>
        </is>
      </c>
      <c r="C7" s="6" t="inlineStr">
        <is>
          <t>CMC 6M-2G-S316</t>
        </is>
      </c>
      <c r="D7" s="7" t="inlineStr">
        <is>
          <t>Male connector, 6 mm tube x G1/8 BSPP erkek</t>
        </is>
      </c>
      <c r="E7" s="5" t="n">
        <v>2</v>
      </c>
      <c r="F7" s="6" t="n"/>
      <c r="G7" s="6">
        <f>IF(F7="","",E7*F7)</f>
        <v/>
      </c>
      <c r="H7" s="6" t="inlineStr">
        <is>
          <t>Neumo (Hy-Lok)</t>
        </is>
      </c>
      <c r="I7" s="7" t="inlineStr">
        <is>
          <t>ŞARTLI: N 86'nın portu G1/8 idi. Pompa modeli değiştiği için port tipi teyit edilip bu kalem güncellenecek. Bonded washer'lı istenecek.</t>
        </is>
      </c>
    </row>
    <row r="8">
      <c r="A8" s="8" t="n">
        <v>7</v>
      </c>
      <c r="B8" s="9" t="inlineStr">
        <is>
          <t>BAĞLANTI</t>
        </is>
      </c>
      <c r="C8" s="9" t="inlineStr">
        <is>
          <t>CBU 6M-S316</t>
        </is>
      </c>
      <c r="D8" s="10" t="inlineStr">
        <is>
          <t>Bulkhead union, 6 mm tube</t>
        </is>
      </c>
      <c r="E8" s="8" t="n">
        <v>4</v>
      </c>
      <c r="F8" s="9" t="n"/>
      <c r="G8" s="9">
        <f>IF(F8="","",E8*F8)</f>
        <v/>
      </c>
      <c r="H8" s="9" t="inlineStr">
        <is>
          <t>Neumo (Hy-Lok)</t>
        </is>
      </c>
      <c r="I8" s="10" t="inlineStr">
        <is>
          <t>2 adet kavanoz kapağı, 2 adet kutu duvarı. Panel deliği 11,5 mm.</t>
        </is>
      </c>
    </row>
    <row r="9">
      <c r="A9" s="8" t="n">
        <v>8</v>
      </c>
      <c r="B9" s="9" t="inlineStr">
        <is>
          <t>BAĞLANTI</t>
        </is>
      </c>
      <c r="C9" s="9" t="inlineStr">
        <is>
          <t>CCA 6M-S316</t>
        </is>
      </c>
      <c r="D9" s="10" t="inlineStr">
        <is>
          <t>Tube fitting cap, 6 mm (kör kapak)</t>
        </is>
      </c>
      <c r="E9" s="8" t="n">
        <v>4</v>
      </c>
      <c r="F9" s="9" t="n"/>
      <c r="G9" s="9">
        <f>IF(F9="","",E9*F9)</f>
        <v/>
      </c>
      <c r="H9" s="9" t="inlineStr">
        <is>
          <t>Neumo (Hy-Lok)</t>
        </is>
      </c>
      <c r="I9" s="10" t="inlineStr">
        <is>
          <t>Kullanılmayan PCD portları (Inlet + Exhaust) kapatılacak.</t>
        </is>
      </c>
    </row>
    <row r="10">
      <c r="A10" s="5" t="n">
        <v>9</v>
      </c>
      <c r="B10" s="6" t="inlineStr">
        <is>
          <t>BAĞLANTI</t>
        </is>
      </c>
      <c r="C10" s="6" t="inlineStr">
        <is>
          <t>CTA 6M-S316</t>
        </is>
      </c>
      <c r="D10" s="7" t="inlineStr">
        <is>
          <t>Union tee, 3 ucu 6 mm tube</t>
        </is>
      </c>
      <c r="E10" s="5" t="n">
        <v>2</v>
      </c>
      <c r="F10" s="6" t="n"/>
      <c r="G10" s="6">
        <f>IF(F10="","",E10*F10)</f>
        <v/>
      </c>
      <c r="H10" s="6" t="inlineStr">
        <is>
          <t>Neumo (Hy-Lok)</t>
        </is>
      </c>
      <c r="I10" s="7" t="inlineStr">
        <is>
          <t>1) PCD kör dalı 2) süpürme portu. Bypass iptal olduğu için 3'ten 2'ye indi.</t>
        </is>
      </c>
    </row>
    <row r="11">
      <c r="A11" s="8" t="n">
        <v>10</v>
      </c>
      <c r="B11" s="9" t="inlineStr">
        <is>
          <t>BAĞLANTI</t>
        </is>
      </c>
      <c r="C11" s="9" t="inlineStr">
        <is>
          <t>—</t>
        </is>
      </c>
      <c r="D11" s="10" t="inlineStr">
        <is>
          <t>Bonded seal washer, G1/8</t>
        </is>
      </c>
      <c r="E11" s="8" t="n">
        <v>4</v>
      </c>
      <c r="F11" s="9" t="n"/>
      <c r="G11" s="9">
        <f>IF(F11="","",E11*F11)</f>
        <v/>
      </c>
      <c r="H11" s="9" t="inlineStr">
        <is>
          <t>Neumo (Hy-Lok)</t>
        </is>
      </c>
      <c r="I11" s="10" t="inlineStr">
        <is>
          <t>CMC 6M-2G için yedek conta. Port tipi değişirse bu da değişir.</t>
        </is>
      </c>
    </row>
    <row r="12">
      <c r="A12" s="11" t="n">
        <v>11</v>
      </c>
      <c r="B12" s="12" t="inlineStr">
        <is>
          <t>BAĞLANTI</t>
        </is>
      </c>
      <c r="C12" s="12" t="inlineStr">
        <is>
          <t>— (kod istenecek)</t>
        </is>
      </c>
      <c r="D12" s="13" t="inlineStr">
        <is>
          <t>Hat içi filtre, 6 mm sıkıştırmalı, 2 µm sinterlenmiş SS eleman</t>
        </is>
      </c>
      <c r="E12" s="11" t="n">
        <v>1</v>
      </c>
      <c r="F12" s="12" t="n"/>
      <c r="G12" s="12">
        <f>IF(F12="","",E12*F12)</f>
        <v/>
      </c>
      <c r="H12" s="12" t="inlineStr">
        <is>
          <t>Neumo (Hy-Lok)</t>
        </is>
      </c>
      <c r="I12" s="13" t="inlineStr">
        <is>
          <t>YENİ. ADM'yi partikül kirlenmesinden korur. Odacık çıkışına, PCD'den önce. Sinterlenmiş SS tercih edildi: inert ve yüzey alanı düşük.</t>
        </is>
      </c>
    </row>
    <row r="13">
      <c r="A13" s="11" t="n">
        <v>12</v>
      </c>
      <c r="B13" s="12" t="inlineStr">
        <is>
          <t>BAĞLANTI</t>
        </is>
      </c>
      <c r="C13" s="12" t="inlineStr">
        <is>
          <t>— (kod istenecek)</t>
        </is>
      </c>
      <c r="D13" s="13" t="inlineStr">
        <is>
          <t>Kapama vanası, 6 mm sıkıştırmalı</t>
        </is>
      </c>
      <c r="E13" s="11" t="n">
        <v>1</v>
      </c>
      <c r="F13" s="12" t="n"/>
      <c r="G13" s="12">
        <f>IF(F13="","",E13*F13)</f>
        <v/>
      </c>
      <c r="H13" s="12" t="inlineStr">
        <is>
          <t>Neumo (Hy-Lok)</t>
        </is>
      </c>
      <c r="I13" s="13" t="inlineStr">
        <is>
          <t>YENİ. Süpürme (purge) portu. Deneyler arası N2 ile hattı temizlemek için. Ölçüm sırasında kapalı.</t>
        </is>
      </c>
    </row>
    <row r="14">
      <c r="A14" s="8" t="n">
        <v>13</v>
      </c>
      <c r="B14" s="9" t="inlineStr">
        <is>
          <t>BAĞLANTI</t>
        </is>
      </c>
      <c r="C14" s="9" t="inlineStr">
        <is>
          <t>—</t>
        </is>
      </c>
      <c r="D14" s="10" t="inlineStr">
        <is>
          <t>PTFE thread sealant (bant veya pasta)</t>
        </is>
      </c>
      <c r="E14" s="8" t="n">
        <v>1</v>
      </c>
      <c r="F14" s="9" t="n"/>
      <c r="G14" s="9">
        <f>IF(F14="","",E14*F14)</f>
        <v/>
      </c>
      <c r="H14" s="9" t="inlineStr">
        <is>
          <t>Neumo / hırdavat</t>
        </is>
      </c>
      <c r="I14" s="10" t="inlineStr">
        <is>
          <t>NPT dişleri için. İlk 1-2 diş boş bırakılır.</t>
        </is>
      </c>
    </row>
    <row r="15">
      <c r="A15" s="8" t="n">
        <v>14</v>
      </c>
      <c r="B15" s="9" t="inlineStr">
        <is>
          <t>BAĞLANTI</t>
        </is>
      </c>
      <c r="C15" s="9" t="inlineStr">
        <is>
          <t>—</t>
        </is>
      </c>
      <c r="D15" s="10" t="inlineStr">
        <is>
          <t>Tube cutter, 6 mm</t>
        </is>
      </c>
      <c r="E15" s="8" t="n">
        <v>1</v>
      </c>
      <c r="F15" s="9" t="n"/>
      <c r="G15" s="9">
        <f>IF(F15="","",E15*F15)</f>
        <v/>
      </c>
      <c r="H15" s="9" t="inlineStr">
        <is>
          <t>Neumo / hırdavat</t>
        </is>
      </c>
      <c r="I15" s="10" t="inlineStr">
        <is>
          <t>Dik kesim şart. Falçata ferrule'ü sızdırtır.</t>
        </is>
      </c>
    </row>
    <row r="16">
      <c r="A16" s="8" t="n">
        <v>15</v>
      </c>
      <c r="B16" s="9" t="inlineStr">
        <is>
          <t>BAĞLANTI</t>
        </is>
      </c>
      <c r="C16" s="9" t="inlineStr">
        <is>
          <t>—</t>
        </is>
      </c>
      <c r="D16" s="10" t="inlineStr">
        <is>
          <t>Kaçak arama sıvısı (Snoop vb.)</t>
        </is>
      </c>
      <c r="E16" s="8" t="n">
        <v>1</v>
      </c>
      <c r="F16" s="9" t="n"/>
      <c r="G16" s="9">
        <f>IF(F16="","",E16*F16)</f>
        <v/>
      </c>
      <c r="H16" s="9" t="inlineStr">
        <is>
          <t>Neumo / hırdavat</t>
        </is>
      </c>
      <c r="I16" s="10" t="inlineStr">
        <is>
          <t>Sabunlu su da olur.</t>
        </is>
      </c>
    </row>
    <row r="17">
      <c r="A17" s="8" t="n">
        <v>16</v>
      </c>
      <c r="B17" s="9" t="inlineStr">
        <is>
          <t>BAĞLANTI</t>
        </is>
      </c>
      <c r="C17" s="9" t="inlineStr">
        <is>
          <t>—</t>
        </is>
      </c>
      <c r="D17" s="10" t="inlineStr">
        <is>
          <t>Açık ağız anahtar, 14 mm ve 15 mm</t>
        </is>
      </c>
      <c r="E17" s="8" t="n">
        <v>2</v>
      </c>
      <c r="F17" s="9" t="n"/>
      <c r="G17" s="9">
        <f>IF(F17="","",E17*F17)</f>
        <v/>
      </c>
      <c r="H17" s="9" t="inlineStr">
        <is>
          <t>Hırdavat</t>
        </is>
      </c>
      <c r="I17" s="10" t="inlineStr">
        <is>
          <t>Gövdeyi tutup somunu sıkmak için ikisi birden gerekli.</t>
        </is>
      </c>
    </row>
    <row r="18">
      <c r="A18" s="2" t="inlineStr">
        <is>
          <t>POMPA / AKIŞ</t>
        </is>
      </c>
      <c r="B18" s="3" t="n"/>
      <c r="C18" s="3" t="n"/>
      <c r="D18" s="3" t="n"/>
      <c r="E18" s="3" t="n"/>
      <c r="F18" s="3" t="n"/>
      <c r="G18" s="3" t="n"/>
      <c r="H18" s="3" t="n"/>
      <c r="I18" s="4" t="n"/>
    </row>
    <row r="19" ht="58" customHeight="1">
      <c r="A19" s="25" t="n">
        <v>18</v>
      </c>
      <c r="B19" s="26" t="inlineStr">
        <is>
          <t>POMPA / AKIŞ</t>
        </is>
      </c>
      <c r="C19" s="26" t="inlineStr">
        <is>
          <t>KNF — model istenecek</t>
        </is>
      </c>
      <c r="D19" s="13" t="inlineStr">
        <is>
          <t>Mikro diyafram pompa, çalışma debisi 150–300 sccm, fırçasız DC</t>
        </is>
      </c>
      <c r="E19" s="25" t="n">
        <v>1</v>
      </c>
      <c r="F19" s="26" t="n"/>
      <c r="G19" s="26">
        <f>IF(F19="","",E19*F19)</f>
        <v/>
      </c>
      <c r="H19" s="26" t="inlineStr">
        <is>
          <t>KNF Türkiye</t>
        </is>
      </c>
      <c r="I19" s="13" t="inlineStr">
        <is>
          <t>ŞARTNAME KNF TÜRKİYE'YE VERİLECEK: 150–300 sccm çalışma debisi, PPS/PTFE ıslak yüzey, PTFE kaplı diyafram, FFKM valf, fırçasız DC (devir ayarlı). NMP 03 / NMP 05 serisi debi olarak uygun ama PTFE diyafram 'talep üzerine' — teyit edilecek. NMP830 KTDC-B'de PTFE+FFKM standart ama debisi 2100 sccm, yani hedefin 10 katı; son çare olarak devri kısılıp MFC ile kontrol edilerek kullanılabilir.</t>
        </is>
      </c>
    </row>
    <row r="20">
      <c r="A20" s="11" t="n">
        <v>19</v>
      </c>
      <c r="B20" s="12" t="inlineStr">
        <is>
          <t>POMPA / AKIŞ</t>
        </is>
      </c>
      <c r="C20" s="12" t="inlineStr">
        <is>
          <t>Alicat 200 sccm MFC</t>
        </is>
      </c>
      <c r="D20" s="13" t="inlineStr">
        <is>
          <t>Döngü debi kontrol + ölçüm (ELİMİZDE VAR)</t>
        </is>
      </c>
      <c r="E20" s="11" t="n">
        <v>0</v>
      </c>
      <c r="F20" s="12" t="n"/>
      <c r="G20" s="12">
        <f>IF(F20="","",E20*F20)</f>
        <v/>
      </c>
      <c r="H20" s="12" t="inlineStr">
        <is>
          <t>—</t>
        </is>
      </c>
      <c r="I20" s="13" t="inlineStr">
        <is>
          <t>Kontrol modunda 150-200 sccm set edilir: hem debiyi belirler hem ölçer. Ayrı rotametreye gerek yok. Gaz seçimi 'Air'. Pompa çıkışı ile odacık girişi arasına.</t>
        </is>
      </c>
    </row>
    <row r="21">
      <c r="A21" s="2" t="inlineStr">
        <is>
          <t>ODACIK</t>
        </is>
      </c>
      <c r="B21" s="3" t="n"/>
      <c r="C21" s="3" t="n"/>
      <c r="D21" s="3" t="n"/>
      <c r="E21" s="3" t="n"/>
      <c r="F21" s="3" t="n"/>
      <c r="G21" s="3" t="n"/>
      <c r="H21" s="3" t="n"/>
      <c r="I21" s="4" t="n"/>
    </row>
    <row r="22">
      <c r="A22" s="11" t="n">
        <v>21</v>
      </c>
      <c r="B22" s="12" t="inlineStr">
        <is>
          <t>ODACIK</t>
        </is>
      </c>
      <c r="C22" s="12" t="inlineStr">
        <is>
          <t>—</t>
        </is>
      </c>
      <c r="D22" s="13" t="inlineStr">
        <is>
          <t>PTFE hortum, 6 mm dış / 4 mm iç çap</t>
        </is>
      </c>
      <c r="E22" s="11" t="n">
        <v>5</v>
      </c>
      <c r="F22" s="12" t="n"/>
      <c r="G22" s="12">
        <f>IF(F22="","",E22*F22)</f>
        <v/>
      </c>
      <c r="H22" s="12" t="inlineStr">
        <is>
          <t>Neumo / lab sarf</t>
        </is>
      </c>
      <c r="I22" s="13" t="inlineStr">
        <is>
          <t>YENİ. Önceki listede insert vardı ama hortumun kendisi yoktu. Birim: metre.</t>
        </is>
      </c>
    </row>
    <row r="23">
      <c r="A23" s="11" t="n">
        <v>22</v>
      </c>
      <c r="B23" s="12" t="inlineStr">
        <is>
          <t>ODACIK</t>
        </is>
      </c>
      <c r="C23" s="12" t="inlineStr">
        <is>
          <t>—</t>
        </is>
      </c>
      <c r="D23" s="13" t="inlineStr">
        <is>
          <t>Cam kavanoz, 1 L borosilikat, geniş ağız, PTFE astarlı kapak</t>
        </is>
      </c>
      <c r="E23" s="11" t="n">
        <v>1</v>
      </c>
      <c r="F23" s="12" t="n"/>
      <c r="G23" s="12">
        <f>IF(F23="","",E23*F23)</f>
        <v/>
      </c>
      <c r="H23" s="12" t="inlineStr">
        <is>
          <t>Lab sarf</t>
        </is>
      </c>
      <c r="I23" s="13" t="inlineStr">
        <is>
          <t>YENİ. Gazın biriktiği hacim burası. 30 L kutuda derişim 30 kat düşer.</t>
        </is>
      </c>
    </row>
    <row r="24">
      <c r="A24" s="8" t="n">
        <v>23</v>
      </c>
      <c r="B24" s="9" t="inlineStr">
        <is>
          <t>ODACIK</t>
        </is>
      </c>
      <c r="C24" s="9" t="inlineStr">
        <is>
          <t>—</t>
        </is>
      </c>
      <c r="D24" s="10" t="inlineStr">
        <is>
          <t>O-ring, Viton (FKM), ~11 mm iç çap x 2 mm kesit</t>
        </is>
      </c>
      <c r="E24" s="8" t="n">
        <v>4</v>
      </c>
      <c r="F24" s="9" t="n"/>
      <c r="G24" s="9">
        <f>IF(F24="","",E24*F24)</f>
        <v/>
      </c>
      <c r="H24" s="9" t="inlineStr">
        <is>
          <t>Conta/hidrolik</t>
        </is>
      </c>
      <c r="I24" s="10" t="inlineStr">
        <is>
          <t>Bulkhead union'ın duvara sızdırmazlığı. Karışık ölçü seti pratik.</t>
        </is>
      </c>
    </row>
    <row r="25">
      <c r="A25" s="11" t="n">
        <v>24</v>
      </c>
      <c r="B25" s="12" t="inlineStr">
        <is>
          <t>ODACIK</t>
        </is>
      </c>
      <c r="C25" s="12" t="inlineStr">
        <is>
          <t>—</t>
        </is>
      </c>
      <c r="D25" s="13" t="inlineStr">
        <is>
          <t>Silikon conta bandı, kutu kapağı için</t>
        </is>
      </c>
      <c r="E25" s="11" t="n">
        <v>1</v>
      </c>
      <c r="F25" s="12" t="n"/>
      <c r="G25" s="12">
        <f>IF(F25="","",E25*F25)</f>
        <v/>
      </c>
      <c r="H25" s="12" t="inlineStr">
        <is>
          <t>Hırdavat</t>
        </is>
      </c>
      <c r="I25" s="13" t="inlineStr">
        <is>
          <t>YENİ. Birim: metre.</t>
        </is>
      </c>
    </row>
    <row r="26">
      <c r="A26" s="11" t="n">
        <v>25</v>
      </c>
      <c r="B26" s="12" t="inlineStr">
        <is>
          <t>ODACIK</t>
        </is>
      </c>
      <c r="C26" s="12" t="inlineStr">
        <is>
          <t>SHT31 veya muadili</t>
        </is>
      </c>
      <c r="D26" s="13" t="inlineStr">
        <is>
          <t>Sıcaklık / bağıl nem sensörü, kayıtlı</t>
        </is>
      </c>
      <c r="E26" s="11" t="n">
        <v>1</v>
      </c>
      <c r="F26" s="12" t="n"/>
      <c r="G26" s="12">
        <f>IF(F26="","",E26*F26)</f>
        <v/>
      </c>
      <c r="H26" s="12" t="inlineStr">
        <is>
          <t>Elektronik</t>
        </is>
      </c>
      <c r="I26" s="13" t="inlineStr">
        <is>
          <t>YENİ. Kapalı döngüde nem dengeye gelir, bunu kayıtla kanıtlamak gerekiyor.</t>
        </is>
      </c>
    </row>
    <row r="27">
      <c r="A27" s="11" t="n">
        <v>26</v>
      </c>
      <c r="B27" s="12" t="inlineStr">
        <is>
          <t>ODACIK</t>
        </is>
      </c>
      <c r="C27" s="12" t="inlineStr">
        <is>
          <t>—</t>
        </is>
      </c>
      <c r="D27" s="13" t="inlineStr">
        <is>
          <t>Nitril eldiven + kelepçe (kutuya eldiven portu)</t>
        </is>
      </c>
      <c r="E27" s="11" t="n">
        <v>2</v>
      </c>
      <c r="F27" s="12" t="n"/>
      <c r="G27" s="12">
        <f>IF(F27="","",E27*F27)</f>
        <v/>
      </c>
      <c r="H27" s="12" t="inlineStr">
        <is>
          <t>Lab sarf</t>
        </is>
      </c>
      <c r="I27" s="13" t="inlineStr">
        <is>
          <t>YENİ. Kapağı açmadan kesim yapmak için. Birim: takım.</t>
        </is>
      </c>
    </row>
    <row r="28">
      <c r="A28" s="2" t="inlineStr">
        <is>
          <t>TEST BİLEŞİĞİ</t>
        </is>
      </c>
      <c r="B28" s="3" t="n"/>
      <c r="C28" s="3" t="n"/>
      <c r="D28" s="3" t="n"/>
      <c r="E28" s="3" t="n"/>
      <c r="F28" s="3" t="n"/>
      <c r="G28" s="3" t="n"/>
      <c r="H28" s="3" t="n"/>
      <c r="I28" s="4" t="n"/>
    </row>
    <row r="29">
      <c r="A29" s="11" t="n">
        <v>28</v>
      </c>
      <c r="B29" s="12" t="inlineStr">
        <is>
          <t>TEST BİLEŞİĞİ</t>
        </is>
      </c>
      <c r="C29" s="12" t="inlineStr">
        <is>
          <t>CAS 119-36-8</t>
        </is>
      </c>
      <c r="D29" s="13" t="inlineStr">
        <is>
          <t>Metil salisilat, reaktif saflığı &gt;=%99, 100 mL</t>
        </is>
      </c>
      <c r="E29" s="11" t="n">
        <v>1</v>
      </c>
      <c r="F29" s="12" t="n"/>
      <c r="G29" s="12">
        <f>IF(F29="","",E29*F29)</f>
        <v/>
      </c>
      <c r="H29" s="12" t="inlineStr">
        <is>
          <t>Merck / Sigma / Isolab</t>
        </is>
      </c>
      <c r="I29" s="13" t="inlineStr">
        <is>
          <t>YENİ. PoC test bileşiği. Kış yeşili yağı ALINMAYACAK, o bir karışım. OSHA maruziyet sınırı yok, parlama noktası &gt;110 C, FEMA GRAS.</t>
        </is>
      </c>
    </row>
    <row r="30">
      <c r="A30" s="11" t="n">
        <v>29</v>
      </c>
      <c r="B30" s="12" t="inlineStr">
        <is>
          <t>TEST BİLEŞİĞİ</t>
        </is>
      </c>
      <c r="C30" s="12" t="inlineStr">
        <is>
          <t>—</t>
        </is>
      </c>
      <c r="D30" s="13" t="inlineStr">
        <is>
          <t>Mikrolitre şırınga, 10 µL, gaz sızdırmaz</t>
        </is>
      </c>
      <c r="E30" s="11" t="n">
        <v>1</v>
      </c>
      <c r="F30" s="12" t="n"/>
      <c r="G30" s="12">
        <f>IF(F30="","",E30*F30)</f>
        <v/>
      </c>
      <c r="H30" s="12" t="inlineStr">
        <is>
          <t>Lab sarf</t>
        </is>
      </c>
      <c r="I30" s="13" t="inlineStr">
        <is>
          <t>YENİ. Tek doz 0,2-1 µL. 1 L kavanozda 0,2 µL yaklaşık 27 ppm eder.</t>
        </is>
      </c>
    </row>
    <row r="31">
      <c r="A31" s="14" t="n"/>
      <c r="B31" s="14" t="n"/>
      <c r="C31" s="14" t="n"/>
      <c r="D31" s="15" t="inlineStr">
        <is>
          <t>TOPLAM</t>
        </is>
      </c>
      <c r="E31" s="14" t="n"/>
      <c r="F31" s="14" t="n"/>
      <c r="G31" s="15">
        <f>SUM(G2:G30)</f>
        <v/>
      </c>
      <c r="H31" s="14" t="n"/>
      <c r="I31" s="14" t="n"/>
    </row>
    <row r="32"/>
    <row r="33">
      <c r="A33" s="16" t="inlineStr">
        <is>
          <t>İPTAL EDİLENLER</t>
        </is>
      </c>
    </row>
    <row r="34" ht="15" customHeight="1">
      <c r="A34" s="17" t="inlineStr">
        <is>
          <t>KNF N 86 KT.18 (5,5 L/dk, 230 V AC) - debisi hedefin 25 katı ve sabit devir. Yerine NMP830 KTDC-B.</t>
        </is>
      </c>
    </row>
    <row r="35" ht="15" customHeight="1">
      <c r="A35" s="17" t="inlineStr">
        <is>
          <t>Dwyer RMA-21-SSV-VIT rotametre (1-10 L/dk) - hem skalası yanlıştı hem de MFC entegre edildiği için gereksiz.</t>
        </is>
      </c>
    </row>
    <row r="36" ht="15" customHeight="1">
      <c r="A36" s="17" t="inlineStr">
        <is>
          <t>Pompa bypass hattı (tee + iğne vana) - pompa debisi doğrudan düşürüleceği için gerekmiyor.</t>
        </is>
      </c>
    </row>
    <row r="37"/>
    <row r="38">
      <c r="A38" s="18" t="inlineStr">
        <is>
          <t>LEJANT</t>
        </is>
      </c>
    </row>
    <row r="39">
      <c r="A39" s="19" t="inlineStr">
        <is>
          <t>Sarı = yeni eklendi</t>
        </is>
      </c>
    </row>
    <row r="40">
      <c r="A40" s="20" t="inlineStr">
        <is>
          <t>Turuncu = adet veya model değiştirildi</t>
        </is>
      </c>
    </row>
    <row r="41">
      <c r="A41" s="21" t="inlineStr">
        <is>
          <t>Renksiz = önceki listeden aynen geldi</t>
        </is>
      </c>
    </row>
    <row r="42"/>
    <row r="43">
      <c r="A43" s="22" t="inlineStr">
        <is>
          <t>SİPARİŞ ÖNCESİ DOĞRULANACAKLAR</t>
        </is>
      </c>
    </row>
    <row r="44" ht="26" customHeight="1">
      <c r="A44" s="23" t="inlineStr">
        <is>
          <t>1. Rakor ölçüleri (6 mm) önceki siparişten teyitli — ADM01, PCD ve MFC hattı zaten bu ölçüde kurulu. PCD'de takılı '9A' damgalı connector 1/8" NPT'yi doğruluyor. Yeni doğrulama gerekmiyor.</t>
        </is>
      </c>
    </row>
    <row r="45" ht="26" customHeight="1">
      <c r="A45" s="23" t="inlineStr">
        <is>
          <t>2. Seçilecek pompanın port tipi (G1/8 diş mi, hortum nipeli mi). CMC 6M-2G kalemi buna göre güncellenecek.</t>
        </is>
      </c>
    </row>
    <row r="46" ht="26" customHeight="1">
      <c r="A46" s="23" t="inlineStr">
        <is>
          <t>3. Alicat MFC ve PCD port tipleri. Liste 1/8" NPT varsayıyor; PCD'de takılı '9A' damgalı connector bunu doğruluyor, MFC cihazın üstünden teyit edilecek.</t>
        </is>
      </c>
    </row>
    <row r="47" ht="26" customHeight="1">
      <c r="A47" s="23" t="inlineStr">
        <is>
          <t>4. Hy-Lok gövdeleri (tee, bulkhead, connector) somun+ferrule takılı mı geliyor? Genelde evet; değilse somun/ferrule adedi artırılacak.</t>
        </is>
      </c>
    </row>
    <row r="48" ht="26" customHeight="1">
      <c r="A48" s="23" t="inlineStr">
        <is>
          <t>5. Filtre ve kapama vanası kodları Neumo'dan istenecek: 6 mm sıkıştırmalı uçlu, filtre elemanı 2 µm.</t>
        </is>
      </c>
    </row>
    <row r="49"/>
    <row r="50">
      <c r="A50" s="24" t="inlineStr">
        <is>
          <t>DÖNGÜ SIRASI</t>
        </is>
      </c>
    </row>
    <row r="51" ht="26" customHeight="1">
      <c r="A51" s="23" t="inlineStr">
        <is>
          <t>Odacık çıkışı -&gt; Filtre -&gt; PCD (T ile kör dal) -&gt; ADM -&gt; Pompa -&gt; MFC -&gt; Odacık girişi</t>
        </is>
      </c>
    </row>
    <row r="52" ht="26" customHeight="1">
      <c r="A52" s="23" t="inlineStr">
        <is>
          <t>Debiyi pompanın devri kabaca, MFC ince olarak belirler. ADM pompanın emme tarafında kaldığı için odacık basıncında çalışır; hiçbir yerde basınç yükselmez. Hedef debi 150-200 sccm, 1 L kavanozu 5-7 dakikada çevirir.</t>
        </is>
      </c>
    </row>
  </sheetData>
  <mergeCells count="14">
    <mergeCell ref="A52:I52"/>
    <mergeCell ref="A2:I2"/>
    <mergeCell ref="A51:I51"/>
    <mergeCell ref="A47:I47"/>
    <mergeCell ref="A28:I28"/>
    <mergeCell ref="A46:I46"/>
    <mergeCell ref="A36:I36"/>
    <mergeCell ref="A44:I44"/>
    <mergeCell ref="A45:I45"/>
    <mergeCell ref="A18:I18"/>
    <mergeCell ref="A34:I34"/>
    <mergeCell ref="A35:I35"/>
    <mergeCell ref="A48:I48"/>
    <mergeCell ref="A21:I2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2026-09-13T18:05:31Z</dcterms:created>
  <dcterms:modified xsi:type="dcterms:W3CDTF">2026-09-13T18:09:01Z</dcterms:modified>
</cp:coreProperties>
</file>