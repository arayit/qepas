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lzeme Listesi" sheetId="1" state="visible" r:id="rId1"/>
  </sheets>
  <definedNames>
    <definedName name="_xlnm.Print_Titles" localSheetId="0">'Malzeme Listesi'!$1:$1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864"/>
      <sz val="10"/>
    </font>
    <font>
      <sz val="9"/>
    </font>
    <font>
      <b val="1"/>
      <sz val="10"/>
    </font>
    <font>
      <b val="1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6" customWidth="1" min="3" max="3"/>
    <col width="8" customWidth="1" min="4" max="4"/>
    <col width="8" customWidth="1" min="5" max="5"/>
    <col width="12" customWidth="1" min="6" max="6"/>
    <col width="12" customWidth="1" min="7" max="7"/>
    <col width="20" customWidth="1" min="8" max="8"/>
    <col width="54" customWidth="1" min="9" max="9"/>
  </cols>
  <sheetData>
    <row r="1" ht="26" customHeight="1">
      <c r="A1" s="1" t="inlineStr">
        <is>
          <t>Sıra</t>
        </is>
      </c>
      <c r="B1" s="1" t="inlineStr">
        <is>
          <t>Kod</t>
        </is>
      </c>
      <c r="C1" s="1" t="inlineStr">
        <is>
          <t>Açıklama</t>
        </is>
      </c>
      <c r="D1" s="1" t="inlineStr">
        <is>
          <t>Adet</t>
        </is>
      </c>
      <c r="E1" s="1" t="inlineStr">
        <is>
          <t>Birim</t>
        </is>
      </c>
      <c r="F1" s="1" t="inlineStr">
        <is>
          <t>Birim Fiyat</t>
        </is>
      </c>
      <c r="G1" s="1" t="inlineStr">
        <is>
          <t>Toplam</t>
        </is>
      </c>
      <c r="H1" s="1" t="inlineStr">
        <is>
          <t>Tedarikçi</t>
        </is>
      </c>
      <c r="I1" s="1" t="inlineStr">
        <is>
          <t>Not</t>
        </is>
      </c>
    </row>
    <row r="2">
      <c r="A2" s="2" t="inlineStr">
        <is>
          <t>HY-LOK / NEUMO</t>
        </is>
      </c>
      <c r="B2" s="3" t="n"/>
      <c r="C2" s="3" t="n"/>
      <c r="D2" s="3" t="n"/>
      <c r="E2" s="3" t="n"/>
      <c r="F2" s="3" t="n"/>
      <c r="G2" s="3" t="n"/>
      <c r="H2" s="3" t="n"/>
      <c r="I2" s="4" t="n"/>
    </row>
    <row r="3" ht="24" customHeight="1">
      <c r="A3" s="5" t="n">
        <v>1</v>
      </c>
      <c r="B3" s="6" t="inlineStr">
        <is>
          <t>CN 6M-S316</t>
        </is>
      </c>
      <c r="C3" s="7" t="inlineStr">
        <is>
          <t>Somun (nut), 6 mm</t>
        </is>
      </c>
      <c r="D3" s="5" t="n">
        <v>30</v>
      </c>
      <c r="E3" s="5" t="inlineStr">
        <is>
          <t>adet</t>
        </is>
      </c>
      <c r="F3" s="6" t="n"/>
      <c r="G3" s="6">
        <f>IF(F3="","",D3*F3)</f>
        <v/>
      </c>
      <c r="H3" s="6" t="inlineStr">
        <is>
          <t>Neumo</t>
        </is>
      </c>
      <c r="I3" s="7" t="inlineStr">
        <is>
          <t>Döngüde 21 boru ucu var.</t>
        </is>
      </c>
    </row>
    <row r="4" ht="24" customHeight="1">
      <c r="A4" s="5" t="n">
        <v>2</v>
      </c>
      <c r="B4" s="6" t="inlineStr">
        <is>
          <t>CFS 6M-S316</t>
        </is>
      </c>
      <c r="C4" s="7" t="inlineStr">
        <is>
          <t>Ön-arka ferrule seti, 6 mm</t>
        </is>
      </c>
      <c r="D4" s="5" t="n">
        <v>30</v>
      </c>
      <c r="E4" s="5" t="inlineStr">
        <is>
          <t>adet</t>
        </is>
      </c>
      <c r="F4" s="6" t="n"/>
      <c r="G4" s="6">
        <f>IF(F4="","",D4*F4)</f>
        <v/>
      </c>
      <c r="H4" s="6" t="inlineStr">
        <is>
          <t>Neumo</t>
        </is>
      </c>
      <c r="I4" s="7" t="inlineStr">
        <is>
          <t>Her sökümde yenilenir.</t>
        </is>
      </c>
    </row>
    <row r="5" ht="24" customHeight="1">
      <c r="A5" s="5" t="n">
        <v>3</v>
      </c>
      <c r="B5" s="6" t="inlineStr">
        <is>
          <t>—</t>
        </is>
      </c>
      <c r="C5" s="7" t="inlineStr">
        <is>
          <t>Tube insert, 6 mm OD x 4 mm ID, SS316</t>
        </is>
      </c>
      <c r="D5" s="5" t="n">
        <v>30</v>
      </c>
      <c r="E5" s="5" t="inlineStr">
        <is>
          <t>adet</t>
        </is>
      </c>
      <c r="F5" s="6" t="n"/>
      <c r="G5" s="6">
        <f>IF(F5="","",D5*F5)</f>
        <v/>
      </c>
      <c r="H5" s="6" t="inlineStr">
        <is>
          <t>Neumo</t>
        </is>
      </c>
      <c r="I5" s="7" t="inlineStr">
        <is>
          <t>PTFE hortum için zorunlu. Her boru ucuna 1 adet.</t>
        </is>
      </c>
    </row>
    <row r="6" ht="24" customHeight="1">
      <c r="A6" s="5" t="n">
        <v>4</v>
      </c>
      <c r="B6" s="6" t="inlineStr">
        <is>
          <t>CMC 6M-2N-S316</t>
        </is>
      </c>
      <c r="C6" s="7" t="inlineStr">
        <is>
          <t>Male connector, 6 mm x 1/8" NPT erkek</t>
        </is>
      </c>
      <c r="D6" s="5" t="n">
        <v>6</v>
      </c>
      <c r="E6" s="5" t="inlineStr">
        <is>
          <t>adet</t>
        </is>
      </c>
      <c r="F6" s="6" t="n"/>
      <c r="G6" s="6">
        <f>IF(F6="","",D6*F6)</f>
        <v/>
      </c>
      <c r="H6" s="6" t="inlineStr">
        <is>
          <t>Neumo</t>
        </is>
      </c>
      <c r="I6" s="7" t="inlineStr">
        <is>
          <t>PCD ve MFC portları için.</t>
        </is>
      </c>
    </row>
    <row r="7" ht="24" customHeight="1">
      <c r="A7" s="5" t="n">
        <v>5</v>
      </c>
      <c r="B7" s="6" t="inlineStr">
        <is>
          <t>CMC 6M-2G-S316</t>
        </is>
      </c>
      <c r="C7" s="7" t="inlineStr">
        <is>
          <t>Male connector, 6 mm x G1/8 erkek</t>
        </is>
      </c>
      <c r="D7" s="5" t="n">
        <v>2</v>
      </c>
      <c r="E7" s="5" t="inlineStr">
        <is>
          <t>adet</t>
        </is>
      </c>
      <c r="F7" s="6" t="n"/>
      <c r="G7" s="6">
        <f>IF(F7="","",D7*F7)</f>
        <v/>
      </c>
      <c r="H7" s="6" t="inlineStr">
        <is>
          <t>Neumo</t>
        </is>
      </c>
      <c r="I7" s="7" t="inlineStr">
        <is>
          <t>Pompa portu için. Bonded washer'lı istenecek.</t>
        </is>
      </c>
    </row>
    <row r="8" ht="24" customHeight="1">
      <c r="A8" s="5" t="n">
        <v>6</v>
      </c>
      <c r="B8" s="6" t="inlineStr">
        <is>
          <t>CBU 6M-S316</t>
        </is>
      </c>
      <c r="C8" s="7" t="inlineStr">
        <is>
          <t>Bulkhead union, 6 mm</t>
        </is>
      </c>
      <c r="D8" s="5" t="n">
        <v>4</v>
      </c>
      <c r="E8" s="5" t="inlineStr">
        <is>
          <t>adet</t>
        </is>
      </c>
      <c r="F8" s="6" t="n"/>
      <c r="G8" s="6">
        <f>IF(F8="","",D8*F8)</f>
        <v/>
      </c>
      <c r="H8" s="6" t="inlineStr">
        <is>
          <t>Neumo</t>
        </is>
      </c>
      <c r="I8" s="7" t="inlineStr">
        <is>
          <t>2 kavanoz kapağı, 2 kutu duvarı.</t>
        </is>
      </c>
    </row>
    <row r="9" ht="24" customHeight="1">
      <c r="A9" s="5" t="n">
        <v>7</v>
      </c>
      <c r="B9" s="6" t="inlineStr">
        <is>
          <t>CCA 6M-S316</t>
        </is>
      </c>
      <c r="C9" s="7" t="inlineStr">
        <is>
          <t>Kör kapak, 6 mm</t>
        </is>
      </c>
      <c r="D9" s="5" t="n">
        <v>4</v>
      </c>
      <c r="E9" s="5" t="inlineStr">
        <is>
          <t>adet</t>
        </is>
      </c>
      <c r="F9" s="6" t="n"/>
      <c r="G9" s="6">
        <f>IF(F9="","",D9*F9)</f>
        <v/>
      </c>
      <c r="H9" s="6" t="inlineStr">
        <is>
          <t>Neumo</t>
        </is>
      </c>
      <c r="I9" s="7" t="inlineStr">
        <is>
          <t>PCD'nin kullanılmayan Inlet ve Exhaust portları.</t>
        </is>
      </c>
    </row>
    <row r="10" ht="24" customHeight="1">
      <c r="A10" s="5" t="n">
        <v>8</v>
      </c>
      <c r="B10" s="6" t="inlineStr">
        <is>
          <t>CTA 6M-S316</t>
        </is>
      </c>
      <c r="C10" s="7" t="inlineStr">
        <is>
          <t>Union tee, 3 ucu 6 mm</t>
        </is>
      </c>
      <c r="D10" s="5" t="n">
        <v>2</v>
      </c>
      <c r="E10" s="5" t="inlineStr">
        <is>
          <t>adet</t>
        </is>
      </c>
      <c r="F10" s="6" t="n"/>
      <c r="G10" s="6">
        <f>IF(F10="","",D10*F10)</f>
        <v/>
      </c>
      <c r="H10" s="6" t="inlineStr">
        <is>
          <t>Neumo</t>
        </is>
      </c>
      <c r="I10" s="7" t="inlineStr">
        <is>
          <t>PCD kör dalı ve süpürme portu.</t>
        </is>
      </c>
    </row>
    <row r="11" ht="24" customHeight="1">
      <c r="A11" s="5" t="n">
        <v>9</v>
      </c>
      <c r="B11" s="6" t="inlineStr">
        <is>
          <t>—</t>
        </is>
      </c>
      <c r="C11" s="7" t="inlineStr">
        <is>
          <t>Bonded seal washer, G1/8</t>
        </is>
      </c>
      <c r="D11" s="5" t="n">
        <v>4</v>
      </c>
      <c r="E11" s="5" t="inlineStr">
        <is>
          <t>adet</t>
        </is>
      </c>
      <c r="F11" s="6" t="n"/>
      <c r="G11" s="6">
        <f>IF(F11="","",D11*F11)</f>
        <v/>
      </c>
      <c r="H11" s="6" t="inlineStr">
        <is>
          <t>Neumo</t>
        </is>
      </c>
      <c r="I11" s="7" t="inlineStr">
        <is>
          <t>CMC 6M-2G için.</t>
        </is>
      </c>
    </row>
    <row r="12" ht="24" customHeight="1">
      <c r="A12" s="5" t="n">
        <v>10</v>
      </c>
      <c r="B12" s="6" t="inlineStr">
        <is>
          <t>— (kod istenecek)</t>
        </is>
      </c>
      <c r="C12" s="7" t="inlineStr">
        <is>
          <t>Hat içi filtre, 6 mm, 2 µm sinterlenmiş SS eleman</t>
        </is>
      </c>
      <c r="D12" s="5" t="n">
        <v>1</v>
      </c>
      <c r="E12" s="5" t="inlineStr">
        <is>
          <t>adet</t>
        </is>
      </c>
      <c r="F12" s="6" t="n"/>
      <c r="G12" s="6">
        <f>IF(F12="","",D12*F12)</f>
        <v/>
      </c>
      <c r="H12" s="6" t="inlineStr">
        <is>
          <t>Neumo</t>
        </is>
      </c>
      <c r="I12" s="7" t="inlineStr">
        <is>
          <t>ADM'yi partikülden korur.</t>
        </is>
      </c>
    </row>
    <row r="13" ht="24" customHeight="1">
      <c r="A13" s="5" t="n">
        <v>11</v>
      </c>
      <c r="B13" s="6" t="inlineStr">
        <is>
          <t>— (kod istenecek)</t>
        </is>
      </c>
      <c r="C13" s="7" t="inlineStr">
        <is>
          <t>Kapama vanası, 6 mm</t>
        </is>
      </c>
      <c r="D13" s="5" t="n">
        <v>1</v>
      </c>
      <c r="E13" s="5" t="inlineStr">
        <is>
          <t>adet</t>
        </is>
      </c>
      <c r="F13" s="6" t="n"/>
      <c r="G13" s="6">
        <f>IF(F13="","",D13*F13)</f>
        <v/>
      </c>
      <c r="H13" s="6" t="inlineStr">
        <is>
          <t>Neumo</t>
        </is>
      </c>
      <c r="I13" s="7" t="inlineStr">
        <is>
          <t>Süpürme portu.</t>
        </is>
      </c>
    </row>
    <row r="14" ht="24" customHeight="1">
      <c r="A14" s="5" t="n">
        <v>12</v>
      </c>
      <c r="B14" s="6" t="inlineStr">
        <is>
          <t>—</t>
        </is>
      </c>
      <c r="C14" s="7" t="inlineStr">
        <is>
          <t>PTFE hortum, 6 mm OD / 4 mm ID</t>
        </is>
      </c>
      <c r="D14" s="5" t="n">
        <v>5</v>
      </c>
      <c r="E14" s="5" t="inlineStr">
        <is>
          <t>metre</t>
        </is>
      </c>
      <c r="F14" s="6" t="n"/>
      <c r="G14" s="6">
        <f>IF(F14="","",D14*F14)</f>
        <v/>
      </c>
      <c r="H14" s="6" t="inlineStr">
        <is>
          <t>Neumo</t>
        </is>
      </c>
      <c r="I14" s="7" t="inlineStr">
        <is>
          <t>Döngü hattı.</t>
        </is>
      </c>
    </row>
    <row r="15" ht="24" customHeight="1">
      <c r="A15" s="5" t="n">
        <v>13</v>
      </c>
      <c r="B15" s="6" t="inlineStr">
        <is>
          <t>—</t>
        </is>
      </c>
      <c r="C15" s="7" t="inlineStr">
        <is>
          <t>PTFE thread sealant</t>
        </is>
      </c>
      <c r="D15" s="5" t="n">
        <v>1</v>
      </c>
      <c r="E15" s="5" t="inlineStr">
        <is>
          <t>adet</t>
        </is>
      </c>
      <c r="F15" s="6" t="n"/>
      <c r="G15" s="6">
        <f>IF(F15="","",D15*F15)</f>
        <v/>
      </c>
      <c r="H15" s="6" t="inlineStr">
        <is>
          <t>Neumo</t>
        </is>
      </c>
      <c r="I15" s="7" t="inlineStr">
        <is>
          <t>NPT dişleri için.</t>
        </is>
      </c>
    </row>
    <row r="16" ht="24" customHeight="1">
      <c r="A16" s="5" t="n">
        <v>14</v>
      </c>
      <c r="B16" s="6" t="inlineStr">
        <is>
          <t>—</t>
        </is>
      </c>
      <c r="C16" s="7" t="inlineStr">
        <is>
          <t>Tube cutter, 6 mm</t>
        </is>
      </c>
      <c r="D16" s="5" t="n">
        <v>1</v>
      </c>
      <c r="E16" s="5" t="inlineStr">
        <is>
          <t>adet</t>
        </is>
      </c>
      <c r="F16" s="6" t="n"/>
      <c r="G16" s="6">
        <f>IF(F16="","",D16*F16)</f>
        <v/>
      </c>
      <c r="H16" s="6" t="inlineStr">
        <is>
          <t>Neumo</t>
        </is>
      </c>
      <c r="I16" s="7" t="inlineStr">
        <is>
          <t>Dik kesim şart.</t>
        </is>
      </c>
    </row>
    <row r="17" ht="24" customHeight="1">
      <c r="A17" s="5" t="n">
        <v>15</v>
      </c>
      <c r="B17" s="6" t="inlineStr">
        <is>
          <t>—</t>
        </is>
      </c>
      <c r="C17" s="7" t="inlineStr">
        <is>
          <t>Kaçak arama sıvısı</t>
        </is>
      </c>
      <c r="D17" s="5" t="n">
        <v>1</v>
      </c>
      <c r="E17" s="5" t="inlineStr">
        <is>
          <t>adet</t>
        </is>
      </c>
      <c r="F17" s="6" t="n"/>
      <c r="G17" s="6">
        <f>IF(F17="","",D17*F17)</f>
        <v/>
      </c>
      <c r="H17" s="6" t="inlineStr">
        <is>
          <t>Neumo</t>
        </is>
      </c>
      <c r="I17" s="7" t="inlineStr">
        <is>
          <t>Sabunlu su da olur.</t>
        </is>
      </c>
    </row>
    <row r="18" ht="24" customHeight="1">
      <c r="A18" s="5" t="n">
        <v>16</v>
      </c>
      <c r="B18" s="6" t="inlineStr">
        <is>
          <t>—</t>
        </is>
      </c>
      <c r="C18" s="7" t="inlineStr">
        <is>
          <t>Açık ağız anahtar, 14 mm ve 15 mm</t>
        </is>
      </c>
      <c r="D18" s="5" t="n">
        <v>2</v>
      </c>
      <c r="E18" s="5" t="inlineStr">
        <is>
          <t>adet</t>
        </is>
      </c>
      <c r="F18" s="6" t="n"/>
      <c r="G18" s="6">
        <f>IF(F18="","",D18*F18)</f>
        <v/>
      </c>
      <c r="H18" s="6" t="inlineStr">
        <is>
          <t>Hırdavat</t>
        </is>
      </c>
      <c r="I18" s="7" t="inlineStr">
        <is>
          <t>Sıkarken ikisi birden gerekli.</t>
        </is>
      </c>
    </row>
    <row r="19">
      <c r="A19" s="2" t="inlineStr">
        <is>
          <t>POMPA</t>
        </is>
      </c>
      <c r="B19" s="3" t="n"/>
      <c r="C19" s="3" t="n"/>
      <c r="D19" s="3" t="n"/>
      <c r="E19" s="3" t="n"/>
      <c r="F19" s="3" t="n"/>
      <c r="G19" s="3" t="n"/>
      <c r="H19" s="3" t="n"/>
      <c r="I19" s="4" t="n"/>
    </row>
    <row r="20" ht="34" customHeight="1">
      <c r="A20" s="5" t="n">
        <v>17</v>
      </c>
      <c r="B20" s="6" t="inlineStr">
        <is>
          <t>Model seçilecek</t>
        </is>
      </c>
      <c r="C20" s="7" t="inlineStr">
        <is>
          <t>Mikro diyafram pompa, 150-300 sccm, fırçasız DC</t>
        </is>
      </c>
      <c r="D20" s="5" t="n">
        <v>1</v>
      </c>
      <c r="E20" s="5" t="inlineStr">
        <is>
          <t>adet</t>
        </is>
      </c>
      <c r="F20" s="6" t="n"/>
      <c r="G20" s="6">
        <f>IF(F20="","",D20*F20)</f>
        <v/>
      </c>
      <c r="H20" s="6" t="inlineStr">
        <is>
          <t>Teklif alınacak</t>
        </is>
      </c>
      <c r="I20" s="7" t="inlineStr">
        <is>
          <t>Islak yüzey FKM (Viton) veya PTFE. NBR ve EPDM OLMAZ. Teklif: Schwarzer, Thomas, Xavitech, KNF, Parker (FKM + fırçasız konfigürasyon).</t>
        </is>
      </c>
    </row>
    <row r="21">
      <c r="A21" s="2" t="inlineStr">
        <is>
          <t>ODACIK</t>
        </is>
      </c>
      <c r="B21" s="3" t="n"/>
      <c r="C21" s="3" t="n"/>
      <c r="D21" s="3" t="n"/>
      <c r="E21" s="3" t="n"/>
      <c r="F21" s="3" t="n"/>
      <c r="G21" s="3" t="n"/>
      <c r="H21" s="3" t="n"/>
      <c r="I21" s="4" t="n"/>
    </row>
    <row r="22" ht="24" customHeight="1">
      <c r="A22" s="5" t="n">
        <v>18</v>
      </c>
      <c r="B22" s="6" t="inlineStr">
        <is>
          <t>—</t>
        </is>
      </c>
      <c r="C22" s="7" t="inlineStr">
        <is>
          <t>Cam kavanoz, 1 L borosilikat, PTFE astarlı kapak</t>
        </is>
      </c>
      <c r="D22" s="5" t="n">
        <v>1</v>
      </c>
      <c r="E22" s="5" t="inlineStr">
        <is>
          <t>adet</t>
        </is>
      </c>
      <c r="F22" s="6" t="n"/>
      <c r="G22" s="6">
        <f>IF(F22="","",D22*F22)</f>
        <v/>
      </c>
      <c r="H22" s="6" t="inlineStr">
        <is>
          <t>Lab sarf</t>
        </is>
      </c>
      <c r="I22" s="7" t="inlineStr">
        <is>
          <t>Örnekleme hacmi.</t>
        </is>
      </c>
    </row>
    <row r="23" ht="24" customHeight="1">
      <c r="A23" s="5" t="n">
        <v>19</v>
      </c>
      <c r="B23" s="6" t="inlineStr">
        <is>
          <t>—</t>
        </is>
      </c>
      <c r="C23" s="7" t="inlineStr">
        <is>
          <t>O-ring, Viton (FKM), ~11 mm iç çap x 2 mm</t>
        </is>
      </c>
      <c r="D23" s="5" t="n">
        <v>4</v>
      </c>
      <c r="E23" s="5" t="inlineStr">
        <is>
          <t>adet</t>
        </is>
      </c>
      <c r="F23" s="6" t="n"/>
      <c r="G23" s="6">
        <f>IF(F23="","",D23*F23)</f>
        <v/>
      </c>
      <c r="H23" s="6" t="inlineStr">
        <is>
          <t>Conta/hidrolik</t>
        </is>
      </c>
      <c r="I23" s="7" t="inlineStr">
        <is>
          <t>Bulkhead duvar sızdırmazlığı.</t>
        </is>
      </c>
    </row>
    <row r="24" ht="24" customHeight="1">
      <c r="A24" s="5" t="n">
        <v>20</v>
      </c>
      <c r="B24" s="6" t="inlineStr">
        <is>
          <t>—</t>
        </is>
      </c>
      <c r="C24" s="7" t="inlineStr">
        <is>
          <t>Silikon conta bandı</t>
        </is>
      </c>
      <c r="D24" s="5" t="n">
        <v>1</v>
      </c>
      <c r="E24" s="5" t="inlineStr">
        <is>
          <t>metre</t>
        </is>
      </c>
      <c r="F24" s="6" t="n"/>
      <c r="G24" s="6">
        <f>IF(F24="","",D24*F24)</f>
        <v/>
      </c>
      <c r="H24" s="6" t="inlineStr">
        <is>
          <t>Hırdavat</t>
        </is>
      </c>
      <c r="I24" s="7" t="inlineStr">
        <is>
          <t>Kutu kapağı.</t>
        </is>
      </c>
    </row>
    <row r="25" ht="24" customHeight="1">
      <c r="A25" s="5" t="n">
        <v>21</v>
      </c>
      <c r="B25" s="6" t="inlineStr">
        <is>
          <t>SHT31</t>
        </is>
      </c>
      <c r="C25" s="7" t="inlineStr">
        <is>
          <t>Sıcaklık / bağıl nem sensörü</t>
        </is>
      </c>
      <c r="D25" s="5" t="n">
        <v>1</v>
      </c>
      <c r="E25" s="5" t="inlineStr">
        <is>
          <t>adet</t>
        </is>
      </c>
      <c r="F25" s="6" t="n"/>
      <c r="G25" s="6">
        <f>IF(F25="","",D25*F25)</f>
        <v/>
      </c>
      <c r="H25" s="6" t="inlineStr">
        <is>
          <t>Elektronik</t>
        </is>
      </c>
      <c r="I25" s="7" t="inlineStr">
        <is>
          <t>Nem kaydı.</t>
        </is>
      </c>
    </row>
    <row r="26" ht="24" customHeight="1">
      <c r="A26" s="5" t="n">
        <v>22</v>
      </c>
      <c r="B26" s="6" t="inlineStr">
        <is>
          <t>—</t>
        </is>
      </c>
      <c r="C26" s="7" t="inlineStr">
        <is>
          <t>Nitril eldiven + kelepçe</t>
        </is>
      </c>
      <c r="D26" s="5" t="n">
        <v>2</v>
      </c>
      <c r="E26" s="5" t="inlineStr">
        <is>
          <t>takım</t>
        </is>
      </c>
      <c r="F26" s="6" t="n"/>
      <c r="G26" s="6">
        <f>IF(F26="","",D26*F26)</f>
        <v/>
      </c>
      <c r="H26" s="6" t="inlineStr">
        <is>
          <t>Lab sarf</t>
        </is>
      </c>
      <c r="I26" s="7" t="inlineStr">
        <is>
          <t>Kapak açmadan kesim.</t>
        </is>
      </c>
    </row>
    <row r="27">
      <c r="A27" s="2" t="inlineStr">
        <is>
          <t>TEST BİLEŞİĞİ</t>
        </is>
      </c>
      <c r="B27" s="3" t="n"/>
      <c r="C27" s="3" t="n"/>
      <c r="D27" s="3" t="n"/>
      <c r="E27" s="3" t="n"/>
      <c r="F27" s="3" t="n"/>
      <c r="G27" s="3" t="n"/>
      <c r="H27" s="3" t="n"/>
      <c r="I27" s="4" t="n"/>
    </row>
    <row r="28" ht="24" customHeight="1">
      <c r="A28" s="5" t="n">
        <v>23</v>
      </c>
      <c r="B28" s="6" t="inlineStr">
        <is>
          <t>CAS 119-36-8</t>
        </is>
      </c>
      <c r="C28" s="7" t="inlineStr">
        <is>
          <t>Metil salisilat, &gt;=%99</t>
        </is>
      </c>
      <c r="D28" s="5" t="n">
        <v>100</v>
      </c>
      <c r="E28" s="5" t="inlineStr">
        <is>
          <t>mL</t>
        </is>
      </c>
      <c r="F28" s="6" t="n"/>
      <c r="G28" s="6">
        <f>IF(F28="","",D28*F28)</f>
        <v/>
      </c>
      <c r="H28" s="6" t="inlineStr">
        <is>
          <t>Merck / Sigma / Isolab</t>
        </is>
      </c>
      <c r="I28" s="7" t="inlineStr">
        <is>
          <t>Kış yeşili yağı değil, reaktif saflığı.</t>
        </is>
      </c>
    </row>
    <row r="29" ht="24" customHeight="1">
      <c r="A29" s="5" t="n">
        <v>24</v>
      </c>
      <c r="B29" s="6" t="inlineStr">
        <is>
          <t>—</t>
        </is>
      </c>
      <c r="C29" s="7" t="inlineStr">
        <is>
          <t>Mikrolitre şırınga, 10 µL</t>
        </is>
      </c>
      <c r="D29" s="5" t="n">
        <v>1</v>
      </c>
      <c r="E29" s="5" t="inlineStr">
        <is>
          <t>adet</t>
        </is>
      </c>
      <c r="F29" s="6" t="n"/>
      <c r="G29" s="6">
        <f>IF(F29="","",D29*F29)</f>
        <v/>
      </c>
      <c r="H29" s="6" t="inlineStr">
        <is>
          <t>Lab sarf</t>
        </is>
      </c>
      <c r="I29" s="7" t="inlineStr">
        <is>
          <t>Doz verme.</t>
        </is>
      </c>
    </row>
    <row r="30">
      <c r="A30" s="8" t="n"/>
      <c r="B30" s="8" t="n"/>
      <c r="C30" s="9" t="inlineStr">
        <is>
          <t>TOPLAM</t>
        </is>
      </c>
      <c r="D30" s="8" t="n"/>
      <c r="E30" s="8" t="n"/>
      <c r="F30" s="8" t="n"/>
      <c r="G30" s="9">
        <f>SUM(G2:G29)</f>
        <v/>
      </c>
      <c r="H30" s="8" t="n"/>
      <c r="I30" s="8" t="n"/>
    </row>
    <row r="32">
      <c r="A32" s="10" t="inlineStr">
        <is>
          <t>Döngü: Odacık -&gt; Filtre -&gt; PCD (T ile kör dal) -&gt; ADM -&gt; Pompa -&gt; MFC -&gt; Odacık</t>
        </is>
      </c>
    </row>
    <row r="33">
      <c r="A33" s="11" t="inlineStr">
        <is>
          <t>Teyit edilecek: pompa port tipi (G1/8 mi, hortum nipeli mi) — 5. kalem buna göre kesinleşir.</t>
        </is>
      </c>
    </row>
  </sheetData>
  <mergeCells count="6">
    <mergeCell ref="A19:I19"/>
    <mergeCell ref="A2:I2"/>
    <mergeCell ref="A33:I33"/>
    <mergeCell ref="A32:I32"/>
    <mergeCell ref="A27:I27"/>
    <mergeCell ref="A21:I21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2026-09-13T18:14:25Z</dcterms:created>
  <dcterms:modified xsi:type="dcterms:W3CDTF">2026-09-13T18:14:25Z</dcterms:modified>
</cp:coreProperties>
</file>